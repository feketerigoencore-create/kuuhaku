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週次記録" sheetId="2" state="visible" r:id="rId4"/>
    <sheet name="記録ログ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<sst xmlns="http://schemas.openxmlformats.org/spreadsheetml/2006/main" count="50" uniqueCount="44">
  <si>
    <t xml:space="preserve">ポケカ相場 定点観測テンプレート</t>
  </si>
  <si>
    <r>
      <rPr>
        <sz val="11"/>
        <rFont val="Noto Sans CJK SC"/>
        <family val="2"/>
      </rPr>
      <t xml:space="preserve">【目的】気になるカードを毎週同じ曜日に記録し、相場観を養う </t>
    </r>
    <r>
      <rPr>
        <sz val="11"/>
        <rFont val="Arial"/>
        <family val="0"/>
        <charset val="1"/>
      </rPr>
      <t xml:space="preserve">&amp; </t>
    </r>
    <r>
      <rPr>
        <sz val="11"/>
        <rFont val="Noto Sans CJK SC"/>
        <family val="2"/>
      </rPr>
      <t xml:space="preserve">ブログ</t>
    </r>
    <r>
      <rPr>
        <sz val="11"/>
        <rFont val="Arial"/>
        <family val="0"/>
        <charset val="1"/>
      </rPr>
      <t xml:space="preserve">/X</t>
    </r>
    <r>
      <rPr>
        <sz val="11"/>
        <rFont val="Noto Sans CJK SC"/>
        <family val="2"/>
      </rPr>
      <t xml:space="preserve">の一次データにする。</t>
    </r>
  </si>
  <si>
    <t xml:space="preserve">【使い方】</t>
  </si>
  <si>
    <r>
      <rPr>
        <sz val="11"/>
        <rFont val="Arial"/>
        <family val="0"/>
        <charset val="1"/>
      </rPr>
      <t xml:space="preserve">1. </t>
    </r>
    <r>
      <rPr>
        <sz val="11"/>
        <rFont val="Noto Sans CJK SC"/>
        <family val="2"/>
      </rPr>
      <t xml:space="preserve">「週次記録」シート：カード名・弾・状態を入れ、毎週の実売価格を各週の列に入力するだけ。</t>
    </r>
  </si>
  <si>
    <t xml:space="preserve">   → 最新価格・初回価格・変化率は自動計算されます。</t>
  </si>
  <si>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「記録ログ」シート：都度メモしたい人向け。日付ごとに気づきを残す。</t>
    </r>
  </si>
  <si>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基準にするのは『出品中の価格』ではなく『実際に売れた価格』。</t>
    </r>
  </si>
  <si>
    <t xml:space="preserve">【コツ】</t>
  </si>
  <si>
    <r>
      <rPr>
        <sz val="11"/>
        <rFont val="Noto Sans CJK SC"/>
        <family val="2"/>
      </rPr>
      <t xml:space="preserve">・カードは</t>
    </r>
    <r>
      <rPr>
        <sz val="11"/>
        <rFont val="Arial"/>
        <family val="0"/>
        <charset val="1"/>
      </rPr>
      <t xml:space="preserve">5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10</t>
    </r>
    <r>
      <rPr>
        <sz val="11"/>
        <rFont val="Noto Sans CJK SC"/>
        <family val="2"/>
      </rPr>
      <t xml:space="preserve">枚に絞る（多すぎると続かない）。</t>
    </r>
  </si>
  <si>
    <t xml:space="preserve">・毎週決まった曜日に更新（習慣化が全て）。</t>
  </si>
  <si>
    <t xml:space="preserve">・数週間たまったら折れ線グラフにして、ニュースとの連動を見る。</t>
  </si>
  <si>
    <t xml:space="preserve">※これは投資助言ではありません。相場は変動し損失もあり得ます。判断は自己責任で。</t>
  </si>
  <si>
    <t xml:space="preserve">カード名</t>
  </si>
  <si>
    <r>
      <rPr>
        <b val="true"/>
        <sz val="11"/>
        <color rgb="FFFFFFFF"/>
        <rFont val="Noto Sans CJK SC"/>
        <family val="2"/>
      </rPr>
      <t xml:space="preserve">弾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型番</t>
    </r>
  </si>
  <si>
    <t xml:space="preserve">状態</t>
  </si>
  <si>
    <t xml:space="preserve">7/5</t>
  </si>
  <si>
    <t xml:space="preserve">7/12</t>
  </si>
  <si>
    <t xml:space="preserve">7/19</t>
  </si>
  <si>
    <t xml:space="preserve">7/26</t>
  </si>
  <si>
    <t xml:space="preserve">8/2</t>
  </si>
  <si>
    <t xml:space="preserve">8/9</t>
  </si>
  <si>
    <t xml:space="preserve">8/16</t>
  </si>
  <si>
    <t xml:space="preserve">8/23</t>
  </si>
  <si>
    <t xml:space="preserve">8/30</t>
  </si>
  <si>
    <t xml:space="preserve">9/6</t>
  </si>
  <si>
    <t xml:space="preserve">9/13</t>
  </si>
  <si>
    <t xml:space="preserve">9/20</t>
  </si>
  <si>
    <t xml:space="preserve">最新価格</t>
  </si>
  <si>
    <t xml:space="preserve">初回価格</t>
  </si>
  <si>
    <t xml:space="preserve">変化率</t>
  </si>
  <si>
    <r>
      <rPr>
        <i val="true"/>
        <sz val="11"/>
        <color rgb="FF808080"/>
        <rFont val="Noto Sans CJK SC"/>
        <family val="2"/>
      </rPr>
      <t xml:space="preserve">例）リザードン </t>
    </r>
    <r>
      <rPr>
        <i val="true"/>
        <sz val="11"/>
        <color rgb="FF808080"/>
        <rFont val="Arial"/>
        <family val="0"/>
        <charset val="1"/>
      </rPr>
      <t xml:space="preserve">ex SAR</t>
    </r>
  </si>
  <si>
    <r>
      <rPr>
        <i val="true"/>
        <sz val="11"/>
        <color rgb="FF808080"/>
        <rFont val="Arial"/>
        <family val="0"/>
        <charset val="1"/>
      </rPr>
      <t xml:space="preserve">SV</t>
    </r>
    <r>
      <rPr>
        <i val="true"/>
        <sz val="11"/>
        <color rgb="FF808080"/>
        <rFont val="Noto Sans CJK SC"/>
        <family val="2"/>
      </rPr>
      <t xml:space="preserve">系</t>
    </r>
  </si>
  <si>
    <t xml:space="preserve">美品</t>
  </si>
  <si>
    <t xml:space="preserve">例）ピカチュウ プロモ</t>
  </si>
  <si>
    <t xml:space="preserve">-</t>
  </si>
  <si>
    <t xml:space="preserve">PSA10</t>
  </si>
  <si>
    <t xml:space="preserve">日付</t>
  </si>
  <si>
    <r>
      <rPr>
        <b val="true"/>
        <sz val="11"/>
        <color rgb="FFFFFFFF"/>
        <rFont val="Noto Sans CJK SC"/>
        <family val="2"/>
      </rPr>
      <t xml:space="preserve">実売価格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円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</si>
  <si>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出品数</t>
  </si>
  <si>
    <r>
      <rPr>
        <b val="true"/>
        <sz val="11"/>
        <color rgb="FFFFFFFF"/>
        <rFont val="Noto Sans CJK SC"/>
        <family val="2"/>
      </rPr>
      <t xml:space="preserve">売れ行き</t>
    </r>
    <r>
      <rPr>
        <b val="true"/>
        <sz val="11"/>
        <color rgb="FFFFFFFF"/>
        <rFont val="Arial"/>
        <family val="0"/>
        <charset val="1"/>
      </rPr>
      <t xml:space="preserve">(◎○△×)</t>
    </r>
  </si>
  <si>
    <r>
      <rPr>
        <b val="true"/>
        <sz val="11"/>
        <color rgb="FFFFFFFF"/>
        <rFont val="Noto Sans CJK SC"/>
        <family val="2"/>
      </rPr>
      <t xml:space="preserve">ニュース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所感</t>
    </r>
  </si>
  <si>
    <t xml:space="preserve">2026/7/5</t>
  </si>
  <si>
    <t xml:space="preserve">○</t>
  </si>
  <si>
    <t xml:space="preserve">再販の噂で出品増、様子見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</si>
</sst>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Noto Sans CJK SC"/>
      <family val="2"/>
    </font>
    <font>
      <i val="true"/>
      <sz val="11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7.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7.15" hidden="false" customHeight="false" outlineLevel="0" collapsed="false">
      <c r="A6" s="2" t="s">
        <v>3</v>
      </c>
    </row>
    <row r="7" customFormat="false" ht="15" hidden="false" customHeight="false" outlineLevel="0" collapsed="false">
      <c r="A7" s="3" t="s">
        <v>4</v>
      </c>
    </row>
    <row r="8" customFormat="false" ht="17.15" hidden="false" customHeight="false" outlineLevel="0" collapsed="false">
      <c r="A8" s="2" t="s">
        <v>5</v>
      </c>
    </row>
    <row r="9" customFormat="false" ht="17.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7.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15" min="4" style="0" width="7"/>
    <col collapsed="false" customWidth="true" hidden="false" outlineLevel="0" max="18" min="16" style="0" width="10"/>
  </cols>
  <sheetData>
    <row r="1" customFormat="false" ht="17.15" hidden="false" customHeight="false" outlineLevel="0" collapsed="false">
      <c r="A1" s="4" t="s">
        <v>12</v>
      </c>
      <c r="B1" s="4" t="s">
        <v>13</v>
      </c>
      <c r="C1" s="4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5" t="s">
        <v>25</v>
      </c>
      <c r="O1" s="5" t="s">
        <v>26</v>
      </c>
      <c r="P1" s="4" t="s">
        <v>27</v>
      </c>
      <c r="Q1" s="4" t="s">
        <v>28</v>
      </c>
      <c r="R1" s="4" t="s">
        <v>29</v>
      </c>
    </row>
    <row r="2" customFormat="false" ht="17.15" hidden="false" customHeight="false" outlineLevel="0" collapsed="false">
      <c r="A2" s="6" t="s">
        <v>30</v>
      </c>
      <c r="B2" s="7" t="s">
        <v>31</v>
      </c>
      <c r="C2" s="6" t="s">
        <v>32</v>
      </c>
      <c r="D2" s="8" t="n">
        <v>12000</v>
      </c>
      <c r="E2" s="8" t="n">
        <v>12500</v>
      </c>
      <c r="F2" s="8" t="n">
        <v>13000</v>
      </c>
      <c r="G2" s="8" t="n">
        <v>12800</v>
      </c>
      <c r="H2" s="8"/>
      <c r="I2" s="8"/>
      <c r="J2" s="8"/>
      <c r="K2" s="8"/>
      <c r="L2" s="8"/>
      <c r="M2" s="8"/>
      <c r="N2" s="8"/>
      <c r="O2" s="8"/>
      <c r="P2" s="8" t="n">
        <f aca="false">IFERROR(LOOKUP(9.9E+307,D2:O2),"")</f>
        <v>12800</v>
      </c>
      <c r="Q2" s="8" t="n">
        <f aca="false">IFERROR(INDEX(D2:O2,MATCH(TRUE(),INDEX(ISNUMBER(D2:O2),0),0)),"")</f>
        <v>12000</v>
      </c>
      <c r="R2" s="9" t="n">
        <f aca="false">IFERROR((P2-Q2)/Q2,"")</f>
        <v>0.0666666666666667</v>
      </c>
    </row>
    <row r="3" customFormat="false" ht="15" hidden="false" customHeight="false" outlineLevel="0" collapsed="false">
      <c r="A3" s="6" t="s">
        <v>33</v>
      </c>
      <c r="B3" s="7" t="s">
        <v>34</v>
      </c>
      <c r="C3" s="7" t="s">
        <v>35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 t="str">
        <f aca="false">IFERROR(LOOKUP(9.9E+307,D3:O3),"")</f>
        <v/>
      </c>
      <c r="Q3" s="8" t="str">
        <f aca="false">IFERROR(INDEX(D3:O3,MATCH(TRUE(),INDEX(ISNUMBER(D3:O3),0),0)),"")</f>
        <v/>
      </c>
      <c r="R3" s="9" t="str">
        <f aca="false">IFERROR((P3-Q3)/Q3,"")</f>
        <v/>
      </c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 t="str">
        <f aca="false">IFERROR(LOOKUP(9.9E+307,D4:O4),"")</f>
        <v/>
      </c>
      <c r="Q4" s="8" t="str">
        <f aca="false">IFERROR(INDEX(D4:O4,MATCH(TRUE(),INDEX(ISNUMBER(D4:O4),0),0)),"")</f>
        <v/>
      </c>
      <c r="R4" s="9" t="str">
        <f aca="false">IFERROR((P4-Q4)/Q4,"")</f>
        <v/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 t="str">
        <f aca="false">IFERROR(LOOKUP(9.9E+307,D5:O5),"")</f>
        <v/>
      </c>
      <c r="Q5" s="8" t="str">
        <f aca="false">IFERROR(INDEX(D5:O5,MATCH(TRUE(),INDEX(ISNUMBER(D5:O5),0),0)),"")</f>
        <v/>
      </c>
      <c r="R5" s="9" t="str">
        <f aca="false">IFERROR((P5-Q5)/Q5,"")</f>
        <v/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 t="str">
        <f aca="false">IFERROR(LOOKUP(9.9E+307,D6:O6),"")</f>
        <v/>
      </c>
      <c r="Q6" s="8" t="str">
        <f aca="false">IFERROR(INDEX(D6:O6,MATCH(TRUE(),INDEX(ISNUMBER(D6:O6),0),0)),"")</f>
        <v/>
      </c>
      <c r="R6" s="9" t="str">
        <f aca="false">IFERROR((P6-Q6)/Q6,"")</f>
        <v/>
      </c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 t="str">
        <f aca="false">IFERROR(LOOKUP(9.9E+307,D7:O7),"")</f>
        <v/>
      </c>
      <c r="Q7" s="8" t="str">
        <f aca="false">IFERROR(INDEX(D7:O7,MATCH(TRUE(),INDEX(ISNUMBER(D7:O7),0),0)),"")</f>
        <v/>
      </c>
      <c r="R7" s="9" t="str">
        <f aca="false">IFERROR((P7-Q7)/Q7,"")</f>
        <v/>
      </c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 t="str">
        <f aca="false">IFERROR(LOOKUP(9.9E+307,D8:O8),"")</f>
        <v/>
      </c>
      <c r="Q8" s="8" t="str">
        <f aca="false">IFERROR(INDEX(D8:O8,MATCH(TRUE(),INDEX(ISNUMBER(D8:O8),0),0)),"")</f>
        <v/>
      </c>
      <c r="R8" s="9" t="str">
        <f aca="false">IFERROR((P8-Q8)/Q8,"")</f>
        <v/>
      </c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 t="str">
        <f aca="false">IFERROR(LOOKUP(9.9E+307,D9:O9),"")</f>
        <v/>
      </c>
      <c r="Q9" s="8" t="str">
        <f aca="false">IFERROR(INDEX(D9:O9,MATCH(TRUE(),INDEX(ISNUMBER(D9:O9),0),0)),"")</f>
        <v/>
      </c>
      <c r="R9" s="9" t="str">
        <f aca="false">IFERROR((P9-Q9)/Q9,"")</f>
        <v/>
      </c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 t="str">
        <f aca="false">IFERROR(LOOKUP(9.9E+307,D10:O10),"")</f>
        <v/>
      </c>
      <c r="Q10" s="8" t="str">
        <f aca="false">IFERROR(INDEX(D10:O10,MATCH(TRUE(),INDEX(ISNUMBER(D10:O10),0),0)),"")</f>
        <v/>
      </c>
      <c r="R10" s="9" t="str">
        <f aca="false">IFERROR((P10-Q10)/Q10,"")</f>
        <v/>
      </c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 t="str">
        <f aca="false">IFERROR(LOOKUP(9.9E+307,D11:O11),"")</f>
        <v/>
      </c>
      <c r="Q11" s="8" t="str">
        <f aca="false">IFERROR(INDEX(D11:O11,MATCH(TRUE(),INDEX(ISNUMBER(D11:O11),0),0)),"")</f>
        <v/>
      </c>
      <c r="R11" s="9" t="str">
        <f aca="false">IFERROR((P11-Q11)/Q11,"")</f>
        <v/>
      </c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 t="str">
        <f aca="false">IFERROR(LOOKUP(9.9E+307,D12:O12),"")</f>
        <v/>
      </c>
      <c r="Q12" s="8" t="str">
        <f aca="false">IFERROR(INDEX(D12:O12,MATCH(TRUE(),INDEX(ISNUMBER(D12:O12),0),0)),"")</f>
        <v/>
      </c>
      <c r="R12" s="9" t="str">
        <f aca="false">IFERROR((P12-Q12)/Q12,"")</f>
        <v/>
      </c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 t="str">
        <f aca="false">IFERROR(LOOKUP(9.9E+307,D13:O13),"")</f>
        <v/>
      </c>
      <c r="Q13" s="8" t="str">
        <f aca="false">IFERROR(INDEX(D13:O13,MATCH(TRUE(),INDEX(ISNUMBER(D13:O13),0),0)),"")</f>
        <v/>
      </c>
      <c r="R13" s="9" t="str">
        <f aca="false">IFERROR((P13-Q13)/Q13,"")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32"/>
  </cols>
  <sheetData>
    <row r="1" customFormat="false" ht="29.85" hidden="false" customHeight="false" outlineLevel="0" collapsed="false">
      <c r="A1" s="4" t="s">
        <v>36</v>
      </c>
      <c r="B1" s="4" t="s">
        <v>12</v>
      </c>
      <c r="C1" s="4" t="s">
        <v>13</v>
      </c>
      <c r="D1" s="4" t="s">
        <v>14</v>
      </c>
      <c r="E1" s="4" t="s">
        <v>37</v>
      </c>
      <c r="F1" s="4" t="s">
        <v>38</v>
      </c>
      <c r="G1" s="4" t="s">
        <v>39</v>
      </c>
      <c r="H1" s="4" t="s">
        <v>40</v>
      </c>
    </row>
    <row r="2" customFormat="false" ht="17.15" hidden="false" customHeight="false" outlineLevel="0" collapsed="false">
      <c r="A2" s="7" t="s">
        <v>41</v>
      </c>
      <c r="B2" s="6" t="s">
        <v>30</v>
      </c>
      <c r="C2" s="7" t="s">
        <v>31</v>
      </c>
      <c r="D2" s="6" t="s">
        <v>32</v>
      </c>
      <c r="E2" s="6" t="n">
        <v>12000</v>
      </c>
      <c r="F2" s="6" t="n">
        <v>15</v>
      </c>
      <c r="G2" s="7" t="s">
        <v>42</v>
      </c>
      <c r="H2" s="6" t="s">
        <v>43</v>
      </c>
    </row>
    <row r="3" customFormat="false" ht="15" hidden="false" customHeight="false" outlineLevel="0" collapsed="false">
      <c r="A3" s="8"/>
      <c r="B3" s="8"/>
      <c r="C3" s="8"/>
      <c r="D3" s="8"/>
      <c r="E3" s="8"/>
      <c r="F3" s="8"/>
      <c r="G3" s="8"/>
      <c r="H3" s="8"/>
    </row>
    <row r="4" customFormat="false" ht="15" hidden="false" customHeight="false" outlineLevel="0" collapsed="false">
      <c r="A4" s="8"/>
      <c r="B4" s="8"/>
      <c r="C4" s="8"/>
      <c r="D4" s="8"/>
      <c r="E4" s="8"/>
      <c r="F4" s="8"/>
      <c r="G4" s="8"/>
      <c r="H4" s="8"/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8"/>
      <c r="H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8"/>
      <c r="H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8"/>
      <c r="H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8"/>
      <c r="H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8"/>
      <c r="H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2026-07-02T04:08:20Z</dcterms:created>
  <dc:creator>openpyxl</dc:creator>
  <dc:description/>
  <dc:language>en-US</dc:language>
  <cp:lastModifiedBy/>
  <dcterms:modified xsi:type="dcterms:W3CDTF">2026-07-02T04:08:20Z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